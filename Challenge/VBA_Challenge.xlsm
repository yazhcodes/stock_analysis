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yazhinigopal/Desktop/DAV Bootcamp/2 VBA/Challenge/"/>
    </mc:Choice>
  </mc:AlternateContent>
  <xr:revisionPtr revIDLastSave="0" documentId="13_ncr:1_{588422FE-E8F7-6F4B-A5FD-6F9364FF239B}" xr6:coauthVersionLast="46" xr6:coauthVersionMax="46" xr10:uidLastSave="{00000000-0000-0000-0000-000000000000}"/>
  <bookViews>
    <workbookView xWindow="0" yWindow="460" windowWidth="28460" windowHeight="16620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Execution Time" sheetId="8" r:id="rId5"/>
    <sheet name="Return_2017vs2018" sheetId="6" r:id="rId6"/>
    <sheet name="Skill Drill" sheetId="5" r:id="rId7"/>
  </sheets>
  <definedNames>
    <definedName name="_xlnm._FilterDatabase" localSheetId="1" hidden="1">'2018'!$A$1:$H$3014</definedName>
    <definedName name="_xlnm._FilterDatabase" localSheetId="3" hidden="1">AllStocksAnalysis!$A$3:$C$15</definedName>
  </definedNames>
  <calcPr calcId="191029"/>
  <pivotCaches>
    <pivotCache cacheId="6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6" l="1"/>
  <c r="E31" i="6"/>
  <c r="E32" i="6"/>
  <c r="E33" i="6"/>
  <c r="E34" i="6"/>
  <c r="E35" i="6"/>
  <c r="E36" i="6"/>
  <c r="E37" i="6"/>
  <c r="E38" i="6"/>
  <c r="E39" i="6"/>
  <c r="E40" i="6"/>
  <c r="E29" i="6"/>
</calcChain>
</file>

<file path=xl/sharedStrings.xml><?xml version="1.0" encoding="utf-8"?>
<sst xmlns="http://schemas.openxmlformats.org/spreadsheetml/2006/main" count="12134" uniqueCount="536">
  <si>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</si>
  <si>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</si>
  <si>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</si>
  <si>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</si>
  <si>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</si>
  <si>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</si>
  <si>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</si>
  <si>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</si>
  <si>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</si>
  <si>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</si>
  <si>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</si>
  <si>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</si>
  <si>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</si>
  <si>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</si>
  <si>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</si>
  <si>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</si>
  <si>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</si>
  <si>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</si>
  <si>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</si>
  <si>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</si>
  <si>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</si>
  <si>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</si>
  <si>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</si>
  <si>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</si>
  <si>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</si>
  <si>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</si>
  <si>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</si>
  <si>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</si>
  <si>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</si>
  <si>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</si>
  <si>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</si>
  <si>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</si>
  <si>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</si>
  <si>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</si>
  <si>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</si>
  <si>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</si>
  <si>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</si>
  <si>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</si>
  <si>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</si>
  <si>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</si>
  <si>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</si>
  <si>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</si>
  <si>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</si>
  <si>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</si>
  <si>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</si>
  <si>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</si>
  <si>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</si>
  <si>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</si>
  <si>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</si>
  <si>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</si>
  <si>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</si>
  <si>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</si>
  <si>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</si>
  <si>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</si>
  <si>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</si>
  <si>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</si>
  <si>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</si>
  <si>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</si>
  <si>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</si>
  <si>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</si>
  <si>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</si>
  <si>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</si>
  <si>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</si>
  <si>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</si>
  <si>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</si>
  <si>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</si>
  <si>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</si>
  <si>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</si>
  <si>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</si>
  <si>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</si>
  <si>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</si>
  <si>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</si>
  <si>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</si>
  <si>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</si>
  <si>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</si>
  <si>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</si>
  <si>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</si>
  <si>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</si>
  <si>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</si>
  <si>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</si>
  <si>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</si>
  <si>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</si>
  <si>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</si>
  <si>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</si>
  <si>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</si>
  <si>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</si>
  <si>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</si>
  <si>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</si>
  <si>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</si>
  <si>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</si>
  <si>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</si>
  <si>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</si>
  <si>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</si>
  <si>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</si>
  <si>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</si>
  <si>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</si>
  <si>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</si>
  <si>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</si>
  <si>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</si>
  <si>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</si>
  <si>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</si>
  <si>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</si>
  <si>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</si>
  <si>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</si>
  <si>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</si>
  <si>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</si>
  <si>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</si>
  <si>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</si>
  <si>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</si>
  <si>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</si>
  <si>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</si>
  <si>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</si>
  <si>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</si>
  <si>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</si>
  <si>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</si>
  <si>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</si>
  <si>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</si>
  <si>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</si>
  <si>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</si>
  <si>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</si>
  <si>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</si>
  <si>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</si>
  <si>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</si>
  <si>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</si>
  <si>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</si>
  <si>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</si>
  <si>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</si>
  <si>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</si>
  <si>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</si>
  <si>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</si>
  <si>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</si>
  <si>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</si>
  <si>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</si>
  <si>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</si>
  <si>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</si>
  <si>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</si>
  <si>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</si>
  <si>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</si>
  <si>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</si>
  <si>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</si>
  <si>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</si>
  <si>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</si>
  <si>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</si>
  <si>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</si>
  <si>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</si>
  <si>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</si>
  <si>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</si>
  <si>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</si>
  <si>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</si>
  <si>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</si>
  <si>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</si>
  <si>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</si>
  <si>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</si>
  <si>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</si>
  <si>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</si>
  <si>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</si>
  <si>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</si>
  <si>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</si>
  <si>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</si>
  <si>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</si>
  <si>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</si>
  <si>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</si>
  <si>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</si>
  <si>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</si>
  <si>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</si>
  <si>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</si>
  <si>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</si>
  <si>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</si>
  <si>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</si>
  <si>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</si>
  <si>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</si>
  <si>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</si>
  <si>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</si>
  <si>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</si>
  <si>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</si>
  <si>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</si>
  <si>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</si>
  <si>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</si>
  <si>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</si>
  <si>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</si>
  <si>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</si>
  <si>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</si>
  <si>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</si>
  <si>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</si>
  <si>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</si>
  <si>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</si>
  <si>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</si>
  <si>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</si>
  <si>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</si>
  <si>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</si>
  <si>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</si>
  <si>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</si>
  <si>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</si>
  <si>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</si>
  <si>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</si>
  <si>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</si>
  <si>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</si>
  <si>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</si>
  <si>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</si>
  <si>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</si>
  <si>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</si>
  <si>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</si>
  <si>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</si>
  <si>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</si>
  <si>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</si>
  <si>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</si>
  <si>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</si>
  <si>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</si>
  <si>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</si>
  <si>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</si>
  <si>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</si>
  <si>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</si>
  <si>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</si>
  <si>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</si>
  <si>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</si>
  <si>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</si>
  <si>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</si>
  <si>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</si>
  <si>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</si>
  <si>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</si>
  <si>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</si>
  <si>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</si>
  <si>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</si>
  <si>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</si>
  <si>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</si>
  <si>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</si>
  <si>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</si>
  <si>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</si>
  <si>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</si>
  <si>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</si>
  <si>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</si>
  <si>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</si>
  <si>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</si>
  <si>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</si>
  <si>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</si>
  <si>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</si>
  <si>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</si>
  <si>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</si>
  <si>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</si>
  <si>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</si>
  <si>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</si>
  <si>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</si>
  <si>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</si>
  <si>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</si>
  <si>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</si>
  <si>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</si>
  <si>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</si>
  <si>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</si>
  <si>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</si>
  <si>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</si>
  <si>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</si>
  <si>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</si>
  <si>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</si>
  <si>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</si>
  <si>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</si>
  <si>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</si>
  <si>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</si>
  <si>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</si>
  <si>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</si>
  <si>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</si>
  <si>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</si>
  <si>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</si>
  <si>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</si>
  <si>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</si>
  <si>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</si>
  <si>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</si>
  <si>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</si>
  <si>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</si>
  <si>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</si>
  <si>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</si>
  <si>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</si>
  <si>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</si>
  <si>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</si>
  <si>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</si>
  <si>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</si>
  <si>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</si>
  <si>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</si>
  <si>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</si>
  <si>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</si>
  <si>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</si>
  <si>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</si>
  <si>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</si>
  <si>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</si>
  <si>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</si>
  <si>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</si>
  <si>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</si>
  <si>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</si>
  <si>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</si>
  <si>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</si>
  <si>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</si>
  <si>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</si>
  <si>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</si>
  <si>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</si>
  <si>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</si>
  <si>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</si>
  <si>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</si>
  <si>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</si>
  <si>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</si>
  <si>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</si>
  <si>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</si>
  <si>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</si>
  <si>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</si>
  <si>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</si>
  <si>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</si>
  <si>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</si>
  <si>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</si>
  <si>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</si>
  <si>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</si>
  <si>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</si>
  <si>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</si>
  <si>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</si>
  <si>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</si>
  <si>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</si>
  <si>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</si>
  <si>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</si>
  <si>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</si>
  <si>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</si>
  <si>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</si>
  <si>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</si>
  <si>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</si>
  <si>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</si>
  <si>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</si>
  <si>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</si>
  <si>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</si>
  <si>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</si>
  <si>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</si>
  <si>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</si>
  <si>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</si>
  <si>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</si>
  <si>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</si>
  <si>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</si>
  <si>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</si>
  <si>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</si>
  <si>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</si>
  <si>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</si>
  <si>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</si>
  <si>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</si>
  <si>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</si>
  <si>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</si>
  <si>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</si>
  <si>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</si>
  <si>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</si>
  <si>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</si>
  <si>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</si>
  <si>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</si>
  <si>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</si>
  <si>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</si>
  <si>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</si>
  <si>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</si>
  <si>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</si>
  <si>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</si>
  <si>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</si>
  <si>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</si>
  <si>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</si>
  <si>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</si>
  <si>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</si>
  <si>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</si>
  <si>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</si>
  <si>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</si>
  <si>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</si>
  <si>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</si>
  <si>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</si>
  <si>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</si>
  <si>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</si>
  <si>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</si>
  <si>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</si>
  <si>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</si>
  <si>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</si>
  <si>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</si>
  <si>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</si>
  <si>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</si>
  <si>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</si>
  <si>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</si>
  <si>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</si>
  <si>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</si>
  <si>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</si>
  <si>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</si>
  <si>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</si>
  <si>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</si>
  <si>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</si>
  <si>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</si>
  <si>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</si>
  <si>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</si>
  <si>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</si>
  <si>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</si>
  <si>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</si>
  <si>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</si>
  <si>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</si>
  <si>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</si>
  <si>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</si>
  <si>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</si>
  <si>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</si>
  <si>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</si>
  <si>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</si>
  <si>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</si>
  <si>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</si>
  <si>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</si>
  <si>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</si>
  <si>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</si>
  <si>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</si>
  <si>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</si>
  <si>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</si>
  <si>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</si>
  <si>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</si>
  <si>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</si>
  <si>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</si>
  <si>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</si>
  <si>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</si>
  <si>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</si>
  <si>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</si>
  <si>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</si>
  <si>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</si>
  <si>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</si>
  <si>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</si>
  <si>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</si>
  <si>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</si>
  <si>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</si>
  <si>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</si>
  <si>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</si>
  <si>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</si>
  <si>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</si>
  <si>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</si>
  <si>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</si>
  <si>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</si>
  <si>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</si>
  <si>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</si>
  <si>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</si>
  <si>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</si>
  <si>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</si>
  <si>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</si>
  <si>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</si>
  <si>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</si>
  <si>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</si>
  <si>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</si>
  <si>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</si>
  <si>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</si>
  <si>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</si>
  <si>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</si>
  <si>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</si>
  <si>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</si>
  <si>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</si>
  <si>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</si>
  <si>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</si>
  <si>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</si>
  <si>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</si>
  <si>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</si>
  <si>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</si>
  <si>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</si>
  <si>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</si>
  <si>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</si>
  <si>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</si>
  <si>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</si>
  <si>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</si>
  <si>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</si>
  <si>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</si>
  <si>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</si>
  <si>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</si>
  <si>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</si>
  <si>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</si>
  <si>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</si>
  <si>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</si>
  <si>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</si>
  <si>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</si>
  <si>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</si>
  <si>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</si>
  <si>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</si>
  <si>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</si>
  <si>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</si>
  <si>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</si>
  <si>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</si>
  <si>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</si>
  <si>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</si>
  <si>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</si>
  <si>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</si>
  <si>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</si>
  <si>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</si>
  <si>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</si>
  <si>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</si>
  <si>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</si>
  <si>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</si>
  <si>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</si>
  <si>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</si>
  <si>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</si>
  <si>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</si>
  <si>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</si>
  <si>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</si>
  <si>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</si>
  <si>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</si>
  <si>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</si>
  <si>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</si>
  <si>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</si>
  <si>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</si>
  <si>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</si>
  <si>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</si>
  <si>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</si>
  <si>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</si>
  <si>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</si>
  <si>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</si>
  <si>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</si>
  <si>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</si>
  <si>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</si>
  <si>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</si>
  <si>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</si>
  <si>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</si>
  <si>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</si>
  <si>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</si>
  <si>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</si>
  <si>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</si>
  <si>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</si>
  <si>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</si>
  <si>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</si>
  <si>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</si>
  <si>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</si>
  <si>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</si>
  <si>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</si>
  <si>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</si>
  <si>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</si>
  <si>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</si>
  <si>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</si>
  <si>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</si>
  <si>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</si>
  <si>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</si>
  <si>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</si>
  <si>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</si>
  <si>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</si>
  <si>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(Ticker:DQ)</t>
  </si>
  <si>
    <t>Column Labels</t>
  </si>
  <si>
    <t>Grand Total</t>
  </si>
  <si>
    <t>Sum of Return</t>
  </si>
  <si>
    <t>Row Labels</t>
  </si>
  <si>
    <t>All Stocks (2018)</t>
  </si>
  <si>
    <t>2017 vs 2018</t>
  </si>
  <si>
    <t>Logic</t>
  </si>
  <si>
    <t>Nested FOR Loop</t>
  </si>
  <si>
    <t>One FOR Loop</t>
  </si>
  <si>
    <t>FOR Loop and Arrays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</si>
</sst>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  <xf numFmtId="3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0" fontId="0" fillId="0" borderId="5" xfId="0" applyBorder="1"/>
    <xf numFmtId="3" fontId="0" fillId="0" borderId="0" xfId="0" applyNumberFormat="1" applyBorder="1"/>
    <xf numFmtId="164" fontId="0" fillId="2" borderId="0" xfId="0" applyNumberFormat="1" applyFill="1" applyBorder="1"/>
    <xf numFmtId="10" fontId="0" fillId="3" borderId="6" xfId="0" applyNumberFormat="1" applyFill="1" applyBorder="1"/>
    <xf numFmtId="10" fontId="0" fillId="2" borderId="6" xfId="0" applyNumberFormat="1" applyFill="1" applyBorder="1"/>
    <xf numFmtId="164" fontId="0" fillId="3" borderId="0" xfId="0" applyNumberFormat="1" applyFill="1" applyBorder="1"/>
    <xf numFmtId="0" fontId="0" fillId="0" borderId="3" xfId="0" applyBorder="1"/>
    <xf numFmtId="3" fontId="0" fillId="0" borderId="2" xfId="0" applyNumberFormat="1" applyBorder="1"/>
    <xf numFmtId="10" fontId="0" fillId="3" borderId="4" xfId="0" applyNumberFormat="1" applyFill="1" applyBorder="1"/>
    <xf numFmtId="0" fontId="0" fillId="0" borderId="0" xfId="0" pivotButton="1"/>
    <xf numFmtId="0" fontId="2" fillId="0" borderId="7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/>
    <xf numFmtId="0" fontId="2" fillId="0" borderId="8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/>
    <xf numFmtId="0" fontId="2" fillId="0" borderId="8" xfId="0" applyFont="1" applyBorder="1" applyAlignment="1">
      <alignment horizontal="center"/>
    </xf>
    <xf numFmtId="3" fontId="1" fillId="0" borderId="0" xfId="0" applyNumberFormat="1" applyFont="1"/>
    <xf numFmtId="10" fontId="0" fillId="2" borderId="0" xfId="0" applyNumberFormat="1" applyFill="1"/>
    <xf numFmtId="0" fontId="2" fillId="0" borderId="2" xfId="0" applyFont="1" applyBorder="1" applyAlignment="1">
      <alignment horizontal="center"/>
    </xf>
    <xf numFmtId="3" fontId="2" fillId="0" borderId="2" xfId="0" applyNumberFormat="1" applyFont="1" applyBorder="1" applyAlignment="1">
      <alignment horizontal="center"/>
    </xf>
    <xf numFmtId="10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horizontal="center"/>
    </xf>
    <xf numFmtId="165" fontId="0" fillId="0" borderId="9" xfId="0" applyNumberFormat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13" xfId="0" applyBorder="1"/>
    <xf numFmtId="165" fontId="0" fillId="0" borderId="14" xfId="0" applyNumberFormat="1" applyBorder="1" applyAlignment="1">
      <alignment horizontal="right"/>
    </xf>
    <xf numFmtId="0" fontId="0" fillId="0" borderId="15" xfId="0" applyBorder="1"/>
    <xf numFmtId="165" fontId="0" fillId="0" borderId="16" xfId="0" applyNumberFormat="1" applyBorder="1" applyAlignment="1">
      <alignment horizontal="right"/>
    </xf>
    <xf numFmtId="0" fontId="0" fillId="0" borderId="17" xfId="0" applyBorder="1"/>
    <xf numFmtId="165" fontId="0" fillId="0" borderId="18" xfId="0" applyNumberFormat="1" applyBorder="1" applyAlignment="1">
      <alignment horizontal="right"/>
    </xf>
    <xf numFmtId="165" fontId="0" fillId="0" borderId="19" xfId="0" applyNumberFormat="1" applyBorder="1" applyAlignment="1">
      <alignment horizontal="right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[VBA_Challenge.xlsm]Return_2017vs2018!PivotTable2</c:name>
    <c:fmtId val="3"/>
  </c:pivotSource>
  <c:chart>
    <c:autoTitleDeleted val="0"/>
    <c:pivotFmts>
      <c:pivotFmt>
        <c:idx val="0"/>
        <c:spPr>
          <a:ln w="19050" cap="sq">
            <a:solidFill>
              <a:srgbClr val="00B050"/>
            </a:solidFill>
            <a:miter lim="800000"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sq">
            <a:solidFill>
              <a:srgbClr val="FFFF00"/>
            </a:solidFill>
            <a:miter lim="800000"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9050" cap="sq">
            <a:solidFill>
              <a:srgbClr val="FFFF00"/>
            </a:solidFill>
            <a:miter lim="800000"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>
            <c:manualLayout>
              <c:x val="-8.7893733938054594E-2"/>
              <c:y val="-3.90659409033264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9050" cap="sq">
            <a:solidFill>
              <a:srgbClr val="00B050"/>
            </a:solidFill>
            <a:miter lim="800000"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>
            <c:manualLayout>
              <c:x val="5.4932862798112011E-3"/>
              <c:y val="-8.878343290907161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5.1976397879477151E-2"/>
                  <c:h val="5.3218605678683334E-2"/>
                </c:manualLayout>
              </c15:layout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Return_2017vs2018!$B$27:$B$28</c:f>
              <c:strCache>
                <c:ptCount val="1"/>
                <c:pt idx="0">
                  <c:v>2017</c:v>
                </c:pt>
              </c:strCache>
            </c:strRef>
          </c:tx>
          <c:spPr>
            <a:ln w="19050" cap="sq">
              <a:solidFill>
                <a:srgbClr val="00B050"/>
              </a:solidFill>
              <a:miter lim="800000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Pt>
            <c:idx val="7"/>
            <c:marker>
              <c:symbol val="none"/>
            </c:marker>
            <c:bubble3D val="0"/>
            <c:spPr>
              <a:ln w="19050" cap="sq">
                <a:solidFill>
                  <a:srgbClr val="00B050"/>
                </a:solidFill>
                <a:miter lim="800000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503-974E-95E7-8093E7B87510}"/>
              </c:ext>
            </c:extLst>
          </c:dPt>
          <c:dLbls>
            <c:dLbl>
              <c:idx val="7"/>
              <c:layout>
                <c:manualLayout>
                  <c:x val="5.4932862798112011E-3"/>
                  <c:y val="-8.878343290907161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1976397879477151E-2"/>
                      <c:h val="5.32186056786833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503-974E-95E7-8093E7B875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Return_2017vs2018!$A$29:$A$41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Return_2017vs2018!$B$29:$B$41</c:f>
              <c:numCache>
                <c:formatCode>0.00%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3-974E-95E7-8093E7B87510}"/>
            </c:ext>
          </c:extLst>
        </c:ser>
        <c:ser>
          <c:idx val="1"/>
          <c:order val="1"/>
          <c:tx>
            <c:strRef>
              <c:f>Return_2017vs2018!$C$27:$C$28</c:f>
              <c:strCache>
                <c:ptCount val="1"/>
                <c:pt idx="0">
                  <c:v>2018</c:v>
                </c:pt>
              </c:strCache>
            </c:strRef>
          </c:tx>
          <c:spPr>
            <a:ln w="19050" cap="sq">
              <a:solidFill>
                <a:srgbClr val="FFFF00"/>
              </a:solidFill>
              <a:miter lim="800000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3503-974E-95E7-8093E7B87510}"/>
              </c:ext>
            </c:extLst>
          </c:dPt>
          <c:dLbls>
            <c:dLbl>
              <c:idx val="7"/>
              <c:layout>
                <c:manualLayout>
                  <c:x val="-8.7893733938054594E-2"/>
                  <c:y val="-3.90659409033264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03-974E-95E7-8093E7B875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Return_2017vs2018!$A$29:$A$41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Return_2017vs2018!$C$29:$C$41</c:f>
              <c:numCache>
                <c:formatCode>0.00%</c:formatCode>
                <c:ptCount val="12"/>
                <c:pt idx="0">
                  <c:v>-7.2847638261477554E-2</c:v>
                </c:pt>
                <c:pt idx="1">
                  <c:v>-0.1633605112812434</c:v>
                </c:pt>
                <c:pt idx="2">
                  <c:v>-0.62601885887805664</c:v>
                </c:pt>
                <c:pt idx="3">
                  <c:v>0.81923076923076943</c:v>
                </c:pt>
                <c:pt idx="4">
                  <c:v>-0.39713191821666904</c:v>
                </c:pt>
                <c:pt idx="5">
                  <c:v>-0.20658063306955443</c:v>
                </c:pt>
                <c:pt idx="6">
                  <c:v>-0.60534715105136283</c:v>
                </c:pt>
                <c:pt idx="7">
                  <c:v>0.8395270270270272</c:v>
                </c:pt>
                <c:pt idx="8">
                  <c:v>-7.7529594678833025E-2</c:v>
                </c:pt>
                <c:pt idx="9">
                  <c:v>-0.44593088071348952</c:v>
                </c:pt>
                <c:pt idx="10">
                  <c:v>-4.995766299745974E-2</c:v>
                </c:pt>
                <c:pt idx="11">
                  <c:v>-3.5443037974683622E-2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3-974E-95E7-8093E7B87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2984719"/>
        <c:axId val="2107276095"/>
      </c:lineChart>
      <c:catAx>
        <c:axId val="2112984719"/>
        <c:scaling>
          <c:orientation val="minMax"/>
        </c:scaling>
        <c:delete val="0"/>
        <c:axPos val="b"/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276095"/>
        <c:crosses val="autoZero"/>
        <c:auto val="1"/>
        <c:lblAlgn val="ctr"/>
        <c:lblOffset val="100"/>
        <c:noMultiLvlLbl val="0"/>
      </c:catAx>
      <c:valAx>
        <c:axId val="2107276095"/>
        <c:scaling>
          <c:orientation val="minMax"/>
          <c:max val="2.5"/>
          <c:min val="-0.75000000000000011"/>
        </c:scaling>
        <c:delete val="0"/>
        <c:axPos val="l"/>
        <c:minorGridlines>
          <c:spPr>
            <a:ln w="3175"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984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1231900</xdr:colOff>
          <xdr:row>0</xdr:row>
          <xdr:rowOff>76200</xdr:rowOff>
        </xdr:from>
        <xdr:to>
          <xdr:col>4</xdr:col>
          <xdr:colOff>50800</xdr:colOff>
          <xdr:row>2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Analyze using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 Loop and If Condition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368300</xdr:colOff>
          <xdr:row>4</xdr:row>
          <xdr:rowOff>50800</xdr:rowOff>
        </xdr:from>
        <xdr:to>
          <xdr:col>5</xdr:col>
          <xdr:colOff>101600</xdr:colOff>
          <xdr:row>6</xdr:row>
          <xdr:rowOff>50800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88900</xdr:rowOff>
        </xdr:from>
        <xdr:to>
          <xdr:col>1</xdr:col>
          <xdr:colOff>1130300</xdr:colOff>
          <xdr:row>2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Analyze using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Nested For Loops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76200</xdr:rowOff>
        </xdr:from>
        <xdr:to>
          <xdr:col>6</xdr:col>
          <xdr:colOff>12700</xdr:colOff>
          <xdr:row>2</xdr:row>
          <xdr:rowOff>114300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Analyze using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For, If and Arrays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41</xdr:row>
      <xdr:rowOff>148451</xdr:rowOff>
    </xdr:from>
    <xdr:to>
      <xdr:col>7</xdr:col>
      <xdr:colOff>388237</xdr:colOff>
      <xdr:row>60</xdr:row>
      <xdr:rowOff>98705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431800</xdr:colOff>
          <xdr:row>1</xdr:row>
          <xdr:rowOff>0</xdr:rowOff>
        </xdr:from>
        <xdr:to>
          <xdr:col>13</xdr:col>
          <xdr:colOff>177800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Checker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431800</xdr:colOff>
          <xdr:row>3</xdr:row>
          <xdr:rowOff>0</xdr:rowOff>
        </xdr:from>
        <xdr:to>
          <xdr:col>13</xdr:col>
          <xdr:colOff>177800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60.628124189818" createdVersion="6" refreshedVersion="6" minRefreshableVersion="3" recordCount="24" xr:uid="{C6A8ED1D-4DE8-C245-964D-F5B235F25B5A}">
  <cacheSource type="worksheet">
    <worksheetSource ref="A1:D25" sheet="Return_2017vs2018"/>
  </cacheSource>
  <cacheFields count="4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Year" numFmtId="0">
      <sharedItems containsSemiMixedTypes="0" containsString="0" containsNumber="1" containsInteger="1" minValue="2017" maxValue="2018" count="2">
        <n v="2017"/>
        <n v="2018"/>
      </sharedItems>
    </cacheField>
    <cacheField name="Total Daily Volume" numFmtId="3">
      <sharedItems containsSemiMixedTypes="0" containsString="0" containsNumber="1" containsInteger="1" minValue="35796200" maxValue="782187000" count="24">
        <n v="136070900"/>
        <n v="310592800"/>
        <n v="35796200"/>
        <n v="221772100"/>
        <n v="684181400"/>
        <n v="80949300"/>
        <n v="191632200"/>
        <n v="267681300"/>
        <n v="206885200"/>
        <n v="782187000"/>
        <n v="139402800"/>
        <n v="109487900"/>
        <n v="83079900"/>
        <n v="200879900"/>
        <n v="107873900"/>
        <n v="607473500"/>
        <n v="478113900"/>
        <n v="104340600"/>
        <n v="158309000"/>
        <n v="502757100"/>
        <n v="237212300"/>
        <n v="538024300"/>
        <n v="151434700"/>
        <n v="136539100"/>
      </sharedItems>
    </cacheField>
    <cacheField name="Return" numFmtId="0">
      <sharedItems containsSemiMixedTypes="0" containsString="0" containsNumber="1" minValue="-0.62601885887805664" maxValue="1.99445831775665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x v="0"/>
    <x v="0"/>
    <n v="8.9368253946304321E-2"/>
  </r>
  <r>
    <x v="1"/>
    <x v="0"/>
    <x v="1"/>
    <n v="0.33070248365402222"/>
  </r>
  <r>
    <x v="2"/>
    <x v="0"/>
    <x v="2"/>
    <n v="1.9944583177566528"/>
  </r>
  <r>
    <x v="3"/>
    <x v="0"/>
    <x v="3"/>
    <n v="1.2952382564544678"/>
  </r>
  <r>
    <x v="4"/>
    <x v="0"/>
    <x v="4"/>
    <n v="1.0131185054779053"/>
  </r>
  <r>
    <x v="5"/>
    <x v="0"/>
    <x v="5"/>
    <n v="0.2583681046962738"/>
  </r>
  <r>
    <x v="6"/>
    <x v="0"/>
    <x v="6"/>
    <n v="0.53870755434036255"/>
  </r>
  <r>
    <x v="7"/>
    <x v="0"/>
    <x v="7"/>
    <n v="5.5456161499023438E-2"/>
  </r>
  <r>
    <x v="8"/>
    <x v="0"/>
    <x v="8"/>
    <n v="1.8446969985961914"/>
  </r>
  <r>
    <x v="9"/>
    <x v="0"/>
    <x v="9"/>
    <n v="0.23065699636936188"/>
  </r>
  <r>
    <x v="10"/>
    <x v="0"/>
    <x v="10"/>
    <n v="-7.2148971259593964E-2"/>
  </r>
  <r>
    <x v="11"/>
    <x v="0"/>
    <x v="11"/>
    <n v="0.50000005960464478"/>
  </r>
  <r>
    <x v="0"/>
    <x v="1"/>
    <x v="12"/>
    <n v="-7.2847638261477554E-2"/>
  </r>
  <r>
    <x v="1"/>
    <x v="1"/>
    <x v="13"/>
    <n v="-0.1633605112812434"/>
  </r>
  <r>
    <x v="2"/>
    <x v="1"/>
    <x v="14"/>
    <n v="-0.62601885887805664"/>
  </r>
  <r>
    <x v="3"/>
    <x v="1"/>
    <x v="15"/>
    <n v="0.81923076923076943"/>
  </r>
  <r>
    <x v="4"/>
    <x v="1"/>
    <x v="16"/>
    <n v="-0.39713191821666904"/>
  </r>
  <r>
    <x v="5"/>
    <x v="1"/>
    <x v="17"/>
    <n v="-0.20658063306955443"/>
  </r>
  <r>
    <x v="6"/>
    <x v="1"/>
    <x v="18"/>
    <n v="-0.60534715105136283"/>
  </r>
  <r>
    <x v="7"/>
    <x v="1"/>
    <x v="19"/>
    <n v="0.8395270270270272"/>
  </r>
  <r>
    <x v="8"/>
    <x v="1"/>
    <x v="20"/>
    <n v="-7.7529594678833025E-2"/>
  </r>
  <r>
    <x v="9"/>
    <x v="1"/>
    <x v="21"/>
    <n v="-0.44593088071348952"/>
  </r>
  <r>
    <x v="10"/>
    <x v="1"/>
    <x v="22"/>
    <n v="-4.995766299745974E-2"/>
  </r>
  <r>
    <x v="11"/>
    <x v="1"/>
    <x v="23"/>
    <n v="-3.5443037974683622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9D1766-57B2-A641-B948-897F6D85E63F}" name="PivotTable2" cacheId="6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4">
  <location ref="A27:D41" firstHeaderRow="1" firstDataRow="2" firstDataCol="1"/>
  <pivotFields count="4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Return" fld="3" baseField="0" baseItem="0" numFmtId="10"/>
  </dataFields>
  <formats count="1"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4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  <chartFormat chart="3" format="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workbookViewId="0">
      <selection activeCell="B4" sqref="B4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50" workbookViewId="0">
      <selection activeCell="H8" sqref="H8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11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4" xr:uid="{26BAC5B2-FB97-854B-8B1B-EFCD5AECF67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37D9B-8094-9045-8884-74854A54768A}">
  <sheetPr codeName="Sheet3"/>
  <dimension ref="A1:C4"/>
  <sheetViews>
    <sheetView zoomScale="183" workbookViewId="0">
      <selection activeCell="E17" sqref="E17"/>
    </sheetView>
  </sheetViews>
  <sheetFormatPr baseColWidth="10" defaultRowHeight="15" x14ac:dyDescent="0.2"/>
  <cols>
    <col min="1" max="1" width="14.33203125" bestFit="1" customWidth="1"/>
    <col min="2" max="2" width="15.33203125" bestFit="1" customWidth="1"/>
    <col min="3" max="3" width="7.5" bestFit="1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8860-9BA9-104F-AE91-4B01547C38E8}">
  <sheetPr codeName="Sheet4"/>
  <dimension ref="A9:C23"/>
  <sheetViews>
    <sheetView tabSelected="1" zoomScale="150" workbookViewId="0">
      <selection activeCell="H11" sqref="H11"/>
    </sheetView>
  </sheetViews>
  <sheetFormatPr baseColWidth="10" defaultRowHeight="15" x14ac:dyDescent="0.2"/>
  <cols>
    <col min="1" max="1" width="5.6640625" bestFit="1" customWidth="1"/>
    <col min="2" max="2" width="15.6640625" style="3" bestFit="1" customWidth="1"/>
    <col min="3" max="3" width="12.6640625" bestFit="1" customWidth="1"/>
  </cols>
  <sheetData>
    <row r="9" spans="1:3" x14ac:dyDescent="0.2">
      <c r="A9" s="28" t="s">
        <v>530</v>
      </c>
      <c r="B9" s="28"/>
      <c r="C9" s="28"/>
    </row>
    <row r="10" spans="1:3" x14ac:dyDescent="0.2">
      <c r="A10" s="21"/>
      <c r="B10" s="23"/>
      <c r="C10" s="21"/>
    </row>
    <row r="11" spans="1:3" x14ac:dyDescent="0.2">
      <c r="A11" s="25" t="s">
        <v>0</v>
      </c>
      <c r="B11" s="26" t="s">
        <v>523</v>
      </c>
      <c r="C11" s="25" t="s">
        <v>524</v>
      </c>
    </row>
    <row r="12" spans="1:3" x14ac:dyDescent="0.2">
      <c r="A12" t="s">
        <v>8</v>
      </c>
      <c r="B12" s="3">
        <v>83079900</v>
      </c>
      <c r="C12" s="27">
        <v>-7.2847634553909302E-2</v>
      </c>
    </row>
    <row r="13" spans="1:3" x14ac:dyDescent="0.2">
      <c r="A13" t="s">
        <v>9</v>
      </c>
      <c r="B13" s="3">
        <v>200879900</v>
      </c>
      <c r="C13" s="27">
        <v>-0.16336052119731903</v>
      </c>
    </row>
    <row r="14" spans="1:3" x14ac:dyDescent="0.2">
      <c r="A14" t="s">
        <v>10</v>
      </c>
      <c r="B14" s="3">
        <v>107873900</v>
      </c>
      <c r="C14" s="27">
        <v>-0.62601888179779053</v>
      </c>
    </row>
    <row r="15" spans="1:3" x14ac:dyDescent="0.2">
      <c r="A15" t="s">
        <v>11</v>
      </c>
      <c r="B15" s="3">
        <v>607473500</v>
      </c>
      <c r="C15" s="24">
        <v>0.81923085451126099</v>
      </c>
    </row>
    <row r="16" spans="1:3" x14ac:dyDescent="0.2">
      <c r="A16" t="s">
        <v>12</v>
      </c>
      <c r="B16" s="3">
        <v>478113900</v>
      </c>
      <c r="C16" s="27">
        <v>-0.39713191986083984</v>
      </c>
    </row>
    <row r="17" spans="1:3" x14ac:dyDescent="0.2">
      <c r="A17" t="s">
        <v>13</v>
      </c>
      <c r="B17" s="3">
        <v>104340600</v>
      </c>
      <c r="C17" s="27">
        <v>-0.20658062398433685</v>
      </c>
    </row>
    <row r="18" spans="1:3" x14ac:dyDescent="0.2">
      <c r="A18" t="s">
        <v>14</v>
      </c>
      <c r="B18" s="3">
        <v>158309000</v>
      </c>
      <c r="C18" s="27">
        <v>-0.6053471565246582</v>
      </c>
    </row>
    <row r="19" spans="1:3" x14ac:dyDescent="0.2">
      <c r="A19" t="s">
        <v>15</v>
      </c>
      <c r="B19" s="3">
        <v>502757100</v>
      </c>
      <c r="C19" s="24">
        <v>0.83952707052230835</v>
      </c>
    </row>
    <row r="20" spans="1:3" x14ac:dyDescent="0.2">
      <c r="A20" t="s">
        <v>16</v>
      </c>
      <c r="B20" s="3">
        <v>237212300</v>
      </c>
      <c r="C20" s="27">
        <v>-7.7529586851596832E-2</v>
      </c>
    </row>
    <row r="21" spans="1:3" x14ac:dyDescent="0.2">
      <c r="A21" t="s">
        <v>17</v>
      </c>
      <c r="B21" s="3">
        <v>538024300</v>
      </c>
      <c r="C21" s="27">
        <v>-0.44593092799186707</v>
      </c>
    </row>
    <row r="22" spans="1:3" x14ac:dyDescent="0.2">
      <c r="A22" t="s">
        <v>18</v>
      </c>
      <c r="B22" s="3">
        <v>151434700</v>
      </c>
      <c r="C22" s="27">
        <v>-4.9957673996686935E-2</v>
      </c>
    </row>
    <row r="23" spans="1:3" x14ac:dyDescent="0.2">
      <c r="A23" t="s">
        <v>19</v>
      </c>
      <c r="B23" s="3">
        <v>136539100</v>
      </c>
      <c r="C23" s="27">
        <v>-3.5443063825368881E-2</v>
      </c>
    </row>
  </sheetData>
  <mergeCells count="1">
    <mergeCell ref="A9:C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ForIf">
                <anchor moveWithCells="1" sizeWithCells="1">
                  <from>
                    <xdr:col>1</xdr:col>
                    <xdr:colOff>1231900</xdr:colOff>
                    <xdr:row>0</xdr:row>
                    <xdr:rowOff>76200</xdr:rowOff>
                  </from>
                  <to>
                    <xdr:col>4</xdr:col>
                    <xdr:colOff>50800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Sheet">
                <anchor moveWithCells="1" sizeWithCells="1">
                  <from>
                    <xdr:col>1</xdr:col>
                    <xdr:colOff>368300</xdr:colOff>
                    <xdr:row>4</xdr:row>
                    <xdr:rowOff>50800</xdr:rowOff>
                  </from>
                  <to>
                    <xdr:col>5</xdr:col>
                    <xdr:colOff>101600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AllStocksAnalysisNestedFor">
                <anchor moveWithCells="1" sizeWithCells="1">
                  <from>
                    <xdr:col>0</xdr:col>
                    <xdr:colOff>88900</xdr:colOff>
                    <xdr:row>0</xdr:row>
                    <xdr:rowOff>88900</xdr:rowOff>
                  </from>
                  <to>
                    <xdr:col>1</xdr:col>
                    <xdr:colOff>1130300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152400</xdr:colOff>
                    <xdr:row>0</xdr:row>
                    <xdr:rowOff>76200</xdr:rowOff>
                  </from>
                  <to>
                    <xdr:col>6</xdr:col>
                    <xdr:colOff>12700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D14F-A408-1E46-AFC3-2B2AF2FF7954}">
  <sheetPr codeName="Sheet8"/>
  <dimension ref="B1:D5"/>
  <sheetViews>
    <sheetView showGridLines="0" zoomScale="191" workbookViewId="0">
      <selection activeCell="F7" sqref="F7"/>
    </sheetView>
  </sheetViews>
  <sheetFormatPr baseColWidth="10" defaultRowHeight="15" x14ac:dyDescent="0.2"/>
  <cols>
    <col min="1" max="1" width="2" customWidth="1"/>
    <col min="2" max="2" width="16.6640625" bestFit="1" customWidth="1"/>
    <col min="3" max="3" width="5.1640625" bestFit="1" customWidth="1"/>
    <col min="4" max="4" width="7.6640625" bestFit="1" customWidth="1"/>
  </cols>
  <sheetData>
    <row r="1" spans="2:4" ht="16" thickBot="1" x14ac:dyDescent="0.25"/>
    <row r="2" spans="2:4" s="29" customFormat="1" ht="16" thickBot="1" x14ac:dyDescent="0.25">
      <c r="B2" s="32" t="s">
        <v>532</v>
      </c>
      <c r="C2" s="33">
        <v>2017</v>
      </c>
      <c r="D2" s="34">
        <v>2018</v>
      </c>
    </row>
    <row r="3" spans="2:4" ht="16" thickTop="1" x14ac:dyDescent="0.2">
      <c r="B3" s="35" t="s">
        <v>533</v>
      </c>
      <c r="C3" s="30">
        <v>0.8203125</v>
      </c>
      <c r="D3" s="36">
        <v>0.78125</v>
      </c>
    </row>
    <row r="4" spans="2:4" x14ac:dyDescent="0.2">
      <c r="B4" s="37" t="s">
        <v>534</v>
      </c>
      <c r="C4" s="31">
        <v>0.6171875</v>
      </c>
      <c r="D4" s="38">
        <v>0.6484375</v>
      </c>
    </row>
    <row r="5" spans="2:4" ht="16" thickBot="1" x14ac:dyDescent="0.25">
      <c r="B5" s="39" t="s">
        <v>535</v>
      </c>
      <c r="C5" s="40">
        <v>0.4140625</v>
      </c>
      <c r="D5" s="41">
        <v>0.4296875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2600E-394C-7647-820B-37AB026A93C6}">
  <sheetPr codeName="Sheet6"/>
  <dimension ref="A1:E41"/>
  <sheetViews>
    <sheetView topLeftCell="A40" zoomScale="150" workbookViewId="0">
      <selection activeCell="H58" sqref="H58"/>
    </sheetView>
  </sheetViews>
  <sheetFormatPr baseColWidth="10" defaultRowHeight="15" x14ac:dyDescent="0.2"/>
  <cols>
    <col min="1" max="1" width="21.5" bestFit="1" customWidth="1"/>
    <col min="2" max="2" width="14.83203125" bestFit="1" customWidth="1"/>
    <col min="3" max="4" width="11.1640625" bestFit="1" customWidth="1"/>
    <col min="5" max="5" width="8.5" bestFit="1" customWidth="1"/>
    <col min="6" max="6" width="21.5" bestFit="1" customWidth="1"/>
    <col min="7" max="7" width="12.1640625" bestFit="1" customWidth="1"/>
    <col min="8" max="8" width="21.5" bestFit="1" customWidth="1"/>
    <col min="9" max="9" width="12.1640625" bestFit="1" customWidth="1"/>
    <col min="10" max="10" width="21.5" bestFit="1" customWidth="1"/>
    <col min="11" max="11" width="12.1640625" bestFit="1" customWidth="1"/>
    <col min="12" max="12" width="21.5" bestFit="1" customWidth="1"/>
    <col min="13" max="13" width="12.1640625" bestFit="1" customWidth="1"/>
    <col min="14" max="14" width="21.5" bestFit="1" customWidth="1"/>
    <col min="15" max="15" width="12.6640625" bestFit="1" customWidth="1"/>
    <col min="16" max="16" width="21.5" bestFit="1" customWidth="1"/>
    <col min="17" max="17" width="12.1640625" bestFit="1" customWidth="1"/>
    <col min="18" max="18" width="21.5" bestFit="1" customWidth="1"/>
    <col min="19" max="19" width="12.1640625" bestFit="1" customWidth="1"/>
    <col min="20" max="20" width="21.5" bestFit="1" customWidth="1"/>
    <col min="21" max="21" width="12.6640625" bestFit="1" customWidth="1"/>
    <col min="22" max="22" width="21.5" bestFit="1" customWidth="1"/>
    <col min="23" max="23" width="12.6640625" bestFit="1" customWidth="1"/>
    <col min="24" max="24" width="21.5" bestFit="1" customWidth="1"/>
    <col min="25" max="25" width="12.1640625" bestFit="1" customWidth="1"/>
    <col min="26" max="26" width="25.6640625" bestFit="1" customWidth="1"/>
    <col min="27" max="27" width="16.33203125" bestFit="1" customWidth="1"/>
    <col min="28" max="28" width="21.5" bestFit="1" customWidth="1"/>
    <col min="29" max="29" width="25.33203125" bestFit="1" customWidth="1"/>
    <col min="30" max="30" width="15.83203125" bestFit="1" customWidth="1"/>
    <col min="31" max="34" width="21.5" bestFit="1" customWidth="1"/>
    <col min="35" max="35" width="25.5" bestFit="1" customWidth="1"/>
    <col min="36" max="36" width="16" bestFit="1" customWidth="1"/>
    <col min="37" max="40" width="21.5" bestFit="1" customWidth="1"/>
    <col min="41" max="41" width="24.33203125" bestFit="1" customWidth="1"/>
    <col min="42" max="42" width="14.83203125" bestFit="1" customWidth="1"/>
    <col min="43" max="46" width="21.5" bestFit="1" customWidth="1"/>
    <col min="47" max="47" width="25.1640625" bestFit="1" customWidth="1"/>
    <col min="48" max="48" width="15.6640625" bestFit="1" customWidth="1"/>
    <col min="49" max="52" width="21.5" bestFit="1" customWidth="1"/>
    <col min="53" max="53" width="25.83203125" bestFit="1" customWidth="1"/>
    <col min="54" max="54" width="16.5" bestFit="1" customWidth="1"/>
    <col min="55" max="58" width="21.5" bestFit="1" customWidth="1"/>
    <col min="59" max="59" width="26.33203125" bestFit="1" customWidth="1"/>
    <col min="60" max="60" width="17" bestFit="1" customWidth="1"/>
    <col min="61" max="64" width="21.5" bestFit="1" customWidth="1"/>
    <col min="65" max="65" width="25.5" bestFit="1" customWidth="1"/>
    <col min="66" max="66" width="16" bestFit="1" customWidth="1"/>
    <col min="67" max="70" width="21.5" bestFit="1" customWidth="1"/>
    <col min="71" max="71" width="25.6640625" bestFit="1" customWidth="1"/>
    <col min="72" max="72" width="16.33203125" bestFit="1" customWidth="1"/>
    <col min="73" max="73" width="25.6640625" bestFit="1" customWidth="1"/>
    <col min="74" max="74" width="16.33203125" bestFit="1" customWidth="1"/>
  </cols>
  <sheetData>
    <row r="1" spans="1:5" s="5" customFormat="1" ht="16" thickBot="1" x14ac:dyDescent="0.25">
      <c r="A1" s="16" t="s">
        <v>0</v>
      </c>
      <c r="B1" s="19" t="s">
        <v>522</v>
      </c>
      <c r="C1" s="22" t="s">
        <v>523</v>
      </c>
      <c r="D1" s="22" t="s">
        <v>524</v>
      </c>
    </row>
    <row r="2" spans="1:5" ht="16" thickTop="1" x14ac:dyDescent="0.2">
      <c r="A2" s="6" t="s">
        <v>8</v>
      </c>
      <c r="B2" s="17">
        <v>2017</v>
      </c>
      <c r="C2" s="7">
        <v>136070900</v>
      </c>
      <c r="D2" s="8">
        <v>8.9368253946304321E-2</v>
      </c>
    </row>
    <row r="3" spans="1:5" x14ac:dyDescent="0.2">
      <c r="A3" s="6" t="s">
        <v>9</v>
      </c>
      <c r="B3" s="17">
        <v>2017</v>
      </c>
      <c r="C3" s="7">
        <v>310592800</v>
      </c>
      <c r="D3" s="8">
        <v>0.33070248365402222</v>
      </c>
    </row>
    <row r="4" spans="1:5" x14ac:dyDescent="0.2">
      <c r="A4" s="6" t="s">
        <v>10</v>
      </c>
      <c r="B4" s="17">
        <v>2017</v>
      </c>
      <c r="C4" s="7">
        <v>35796200</v>
      </c>
      <c r="D4" s="8">
        <v>1.9944583177566528</v>
      </c>
    </row>
    <row r="5" spans="1:5" x14ac:dyDescent="0.2">
      <c r="A5" s="6" t="s">
        <v>11</v>
      </c>
      <c r="B5" s="17">
        <v>2017</v>
      </c>
      <c r="C5" s="7">
        <v>221772100</v>
      </c>
      <c r="D5" s="8">
        <v>1.2952382564544678</v>
      </c>
    </row>
    <row r="6" spans="1:5" x14ac:dyDescent="0.2">
      <c r="A6" s="6" t="s">
        <v>12</v>
      </c>
      <c r="B6" s="17">
        <v>2017</v>
      </c>
      <c r="C6" s="7">
        <v>684181400</v>
      </c>
      <c r="D6" s="8">
        <v>1.0131185054779053</v>
      </c>
    </row>
    <row r="7" spans="1:5" x14ac:dyDescent="0.2">
      <c r="A7" s="6" t="s">
        <v>13</v>
      </c>
      <c r="B7" s="17">
        <v>2017</v>
      </c>
      <c r="C7" s="7">
        <v>80949300</v>
      </c>
      <c r="D7" s="8">
        <v>0.2583681046962738</v>
      </c>
    </row>
    <row r="8" spans="1:5" x14ac:dyDescent="0.2">
      <c r="A8" s="6" t="s">
        <v>14</v>
      </c>
      <c r="B8" s="17">
        <v>2017</v>
      </c>
      <c r="C8" s="7">
        <v>191632200</v>
      </c>
      <c r="D8" s="8">
        <v>0.53870755434036255</v>
      </c>
    </row>
    <row r="9" spans="1:5" x14ac:dyDescent="0.2">
      <c r="A9" s="6" t="s">
        <v>15</v>
      </c>
      <c r="B9" s="17">
        <v>2017</v>
      </c>
      <c r="C9" s="7">
        <v>267681300</v>
      </c>
      <c r="D9" s="8">
        <v>5.5456161499023438E-2</v>
      </c>
    </row>
    <row r="10" spans="1:5" x14ac:dyDescent="0.2">
      <c r="A10" s="6" t="s">
        <v>16</v>
      </c>
      <c r="B10" s="17">
        <v>2017</v>
      </c>
      <c r="C10" s="7">
        <v>206885200</v>
      </c>
      <c r="D10" s="8">
        <v>1.8446969985961914</v>
      </c>
    </row>
    <row r="11" spans="1:5" x14ac:dyDescent="0.2">
      <c r="A11" s="6" t="s">
        <v>17</v>
      </c>
      <c r="B11" s="17">
        <v>2017</v>
      </c>
      <c r="C11" s="7">
        <v>782187000</v>
      </c>
      <c r="D11" s="8">
        <v>0.23065699636936188</v>
      </c>
    </row>
    <row r="12" spans="1:5" x14ac:dyDescent="0.2">
      <c r="A12" s="6" t="s">
        <v>18</v>
      </c>
      <c r="B12" s="17">
        <v>2017</v>
      </c>
      <c r="C12" s="7">
        <v>139402800</v>
      </c>
      <c r="D12" s="11">
        <v>-7.2148971259593964E-2</v>
      </c>
    </row>
    <row r="13" spans="1:5" x14ac:dyDescent="0.2">
      <c r="A13" s="17" t="s">
        <v>19</v>
      </c>
      <c r="B13" s="17">
        <v>2017</v>
      </c>
      <c r="C13" s="7">
        <v>109487900</v>
      </c>
      <c r="D13" s="8">
        <v>0.50000005960464478</v>
      </c>
      <c r="E13" s="17"/>
    </row>
    <row r="14" spans="1:5" x14ac:dyDescent="0.2">
      <c r="A14" s="6" t="s">
        <v>8</v>
      </c>
      <c r="B14" s="18">
        <v>2018</v>
      </c>
      <c r="C14" s="7">
        <v>83079900</v>
      </c>
      <c r="D14" s="9">
        <v>-7.2847638261477554E-2</v>
      </c>
    </row>
    <row r="15" spans="1:5" x14ac:dyDescent="0.2">
      <c r="A15" s="6" t="s">
        <v>9</v>
      </c>
      <c r="B15" s="18">
        <v>2018</v>
      </c>
      <c r="C15" s="7">
        <v>200879900</v>
      </c>
      <c r="D15" s="9">
        <v>-0.1633605112812434</v>
      </c>
    </row>
    <row r="16" spans="1:5" x14ac:dyDescent="0.2">
      <c r="A16" s="6" t="s">
        <v>10</v>
      </c>
      <c r="B16" s="18">
        <v>2018</v>
      </c>
      <c r="C16" s="7">
        <v>107873900</v>
      </c>
      <c r="D16" s="9">
        <v>-0.62601885887805664</v>
      </c>
    </row>
    <row r="17" spans="1:5" x14ac:dyDescent="0.2">
      <c r="A17" s="6" t="s">
        <v>11</v>
      </c>
      <c r="B17" s="18">
        <v>2018</v>
      </c>
      <c r="C17" s="7">
        <v>607473500</v>
      </c>
      <c r="D17" s="10">
        <v>0.81923076923076943</v>
      </c>
    </row>
    <row r="18" spans="1:5" x14ac:dyDescent="0.2">
      <c r="A18" s="6" t="s">
        <v>12</v>
      </c>
      <c r="B18" s="18">
        <v>2018</v>
      </c>
      <c r="C18" s="7">
        <v>478113900</v>
      </c>
      <c r="D18" s="9">
        <v>-0.39713191821666904</v>
      </c>
    </row>
    <row r="19" spans="1:5" x14ac:dyDescent="0.2">
      <c r="A19" s="6" t="s">
        <v>13</v>
      </c>
      <c r="B19" s="18">
        <v>2018</v>
      </c>
      <c r="C19" s="7">
        <v>104340600</v>
      </c>
      <c r="D19" s="9">
        <v>-0.20658063306955443</v>
      </c>
    </row>
    <row r="20" spans="1:5" x14ac:dyDescent="0.2">
      <c r="A20" s="6" t="s">
        <v>14</v>
      </c>
      <c r="B20" s="18">
        <v>2018</v>
      </c>
      <c r="C20" s="7">
        <v>158309000</v>
      </c>
      <c r="D20" s="9">
        <v>-0.60534715105136283</v>
      </c>
    </row>
    <row r="21" spans="1:5" x14ac:dyDescent="0.2">
      <c r="A21" s="6" t="s">
        <v>15</v>
      </c>
      <c r="B21" s="18">
        <v>2018</v>
      </c>
      <c r="C21" s="7">
        <v>502757100</v>
      </c>
      <c r="D21" s="10">
        <v>0.8395270270270272</v>
      </c>
    </row>
    <row r="22" spans="1:5" x14ac:dyDescent="0.2">
      <c r="A22" s="6" t="s">
        <v>16</v>
      </c>
      <c r="B22" s="18">
        <v>2018</v>
      </c>
      <c r="C22" s="7">
        <v>237212300</v>
      </c>
      <c r="D22" s="9">
        <v>-7.7529594678833025E-2</v>
      </c>
    </row>
    <row r="23" spans="1:5" x14ac:dyDescent="0.2">
      <c r="A23" s="6" t="s">
        <v>17</v>
      </c>
      <c r="B23" s="18">
        <v>2018</v>
      </c>
      <c r="C23" s="7">
        <v>538024300</v>
      </c>
      <c r="D23" s="9">
        <v>-0.44593088071348952</v>
      </c>
    </row>
    <row r="24" spans="1:5" x14ac:dyDescent="0.2">
      <c r="A24" s="6" t="s">
        <v>18</v>
      </c>
      <c r="B24" s="18">
        <v>2018</v>
      </c>
      <c r="C24" s="7">
        <v>151434700</v>
      </c>
      <c r="D24" s="9">
        <v>-4.995766299745974E-2</v>
      </c>
    </row>
    <row r="25" spans="1:5" x14ac:dyDescent="0.2">
      <c r="A25" s="12" t="s">
        <v>19</v>
      </c>
      <c r="B25" s="18">
        <v>2018</v>
      </c>
      <c r="C25" s="13">
        <v>136539100</v>
      </c>
      <c r="D25" s="14">
        <v>-3.5443037974683622E-2</v>
      </c>
    </row>
    <row r="27" spans="1:5" x14ac:dyDescent="0.2">
      <c r="A27" s="15" t="s">
        <v>528</v>
      </c>
      <c r="B27" s="15" t="s">
        <v>526</v>
      </c>
    </row>
    <row r="28" spans="1:5" x14ac:dyDescent="0.2">
      <c r="A28" s="15" t="s">
        <v>529</v>
      </c>
      <c r="B28">
        <v>2017</v>
      </c>
      <c r="C28">
        <v>2018</v>
      </c>
      <c r="D28" t="s">
        <v>527</v>
      </c>
      <c r="E28" s="4" t="s">
        <v>531</v>
      </c>
    </row>
    <row r="29" spans="1:5" x14ac:dyDescent="0.2">
      <c r="A29" s="20" t="s">
        <v>8</v>
      </c>
      <c r="B29" s="2">
        <v>8.9368253946304321E-2</v>
      </c>
      <c r="C29" s="2">
        <v>-7.2847638261477554E-2</v>
      </c>
      <c r="D29" s="2">
        <v>1.6520615684826767E-2</v>
      </c>
      <c r="E29" s="2">
        <f>C29-B29</f>
        <v>-0.16221589220778188</v>
      </c>
    </row>
    <row r="30" spans="1:5" x14ac:dyDescent="0.2">
      <c r="A30" s="20" t="s">
        <v>9</v>
      </c>
      <c r="B30" s="2">
        <v>0.33070248365402222</v>
      </c>
      <c r="C30" s="2">
        <v>-0.1633605112812434</v>
      </c>
      <c r="D30" s="2">
        <v>0.16734197237277881</v>
      </c>
      <c r="E30" s="2">
        <f t="shared" ref="E30:E40" si="0">C30-B30</f>
        <v>-0.49406299493526562</v>
      </c>
    </row>
    <row r="31" spans="1:5" x14ac:dyDescent="0.2">
      <c r="A31" s="20" t="s">
        <v>10</v>
      </c>
      <c r="B31" s="2">
        <v>1.9944583177566528</v>
      </c>
      <c r="C31" s="2">
        <v>-0.62601885887805664</v>
      </c>
      <c r="D31" s="2">
        <v>1.3684394588785962</v>
      </c>
      <c r="E31" s="2">
        <f t="shared" si="0"/>
        <v>-2.6204771766347097</v>
      </c>
    </row>
    <row r="32" spans="1:5" x14ac:dyDescent="0.2">
      <c r="A32" s="20" t="s">
        <v>11</v>
      </c>
      <c r="B32" s="2">
        <v>1.2952382564544678</v>
      </c>
      <c r="C32" s="2">
        <v>0.81923076923076943</v>
      </c>
      <c r="D32" s="2">
        <v>2.1144690256852372</v>
      </c>
      <c r="E32" s="2">
        <f t="shared" si="0"/>
        <v>-0.47600748722369834</v>
      </c>
    </row>
    <row r="33" spans="1:5" x14ac:dyDescent="0.2">
      <c r="A33" s="20" t="s">
        <v>12</v>
      </c>
      <c r="B33" s="2">
        <v>1.0131185054779053</v>
      </c>
      <c r="C33" s="2">
        <v>-0.39713191821666904</v>
      </c>
      <c r="D33" s="2">
        <v>0.61598658726123623</v>
      </c>
      <c r="E33" s="2">
        <f t="shared" si="0"/>
        <v>-1.4102504236945743</v>
      </c>
    </row>
    <row r="34" spans="1:5" x14ac:dyDescent="0.2">
      <c r="A34" s="20" t="s">
        <v>13</v>
      </c>
      <c r="B34" s="2">
        <v>0.2583681046962738</v>
      </c>
      <c r="C34" s="2">
        <v>-0.20658063306955443</v>
      </c>
      <c r="D34" s="2">
        <v>5.1787471626719372E-2</v>
      </c>
      <c r="E34" s="2">
        <f t="shared" si="0"/>
        <v>-0.46494873776582823</v>
      </c>
    </row>
    <row r="35" spans="1:5" x14ac:dyDescent="0.2">
      <c r="A35" s="20" t="s">
        <v>14</v>
      </c>
      <c r="B35" s="2">
        <v>0.53870755434036255</v>
      </c>
      <c r="C35" s="2">
        <v>-0.60534715105136283</v>
      </c>
      <c r="D35" s="2">
        <v>-6.6639596711000282E-2</v>
      </c>
      <c r="E35" s="2">
        <f t="shared" si="0"/>
        <v>-1.1440547053917254</v>
      </c>
    </row>
    <row r="36" spans="1:5" x14ac:dyDescent="0.2">
      <c r="A36" s="20" t="s">
        <v>15</v>
      </c>
      <c r="B36" s="2">
        <v>5.5456161499023438E-2</v>
      </c>
      <c r="C36" s="2">
        <v>0.8395270270270272</v>
      </c>
      <c r="D36" s="2">
        <v>0.89498318852605063</v>
      </c>
      <c r="E36" s="2">
        <f t="shared" si="0"/>
        <v>0.78407086552800376</v>
      </c>
    </row>
    <row r="37" spans="1:5" x14ac:dyDescent="0.2">
      <c r="A37" s="20" t="s">
        <v>16</v>
      </c>
      <c r="B37" s="2">
        <v>1.8446969985961914</v>
      </c>
      <c r="C37" s="2">
        <v>-7.7529594678833025E-2</v>
      </c>
      <c r="D37" s="2">
        <v>1.7671674039173584</v>
      </c>
      <c r="E37" s="2">
        <f t="shared" si="0"/>
        <v>-1.9222265932750244</v>
      </c>
    </row>
    <row r="38" spans="1:5" x14ac:dyDescent="0.2">
      <c r="A38" s="20" t="s">
        <v>17</v>
      </c>
      <c r="B38" s="2">
        <v>0.23065699636936188</v>
      </c>
      <c r="C38" s="2">
        <v>-0.44593088071348952</v>
      </c>
      <c r="D38" s="2">
        <v>-0.21527388434412764</v>
      </c>
      <c r="E38" s="2">
        <f t="shared" si="0"/>
        <v>-0.6765878770828514</v>
      </c>
    </row>
    <row r="39" spans="1:5" x14ac:dyDescent="0.2">
      <c r="A39" s="20" t="s">
        <v>18</v>
      </c>
      <c r="B39" s="2">
        <v>-7.2148971259593964E-2</v>
      </c>
      <c r="C39" s="2">
        <v>-4.995766299745974E-2</v>
      </c>
      <c r="D39" s="2">
        <v>-0.1221066342570537</v>
      </c>
      <c r="E39" s="2">
        <f t="shared" si="0"/>
        <v>2.2191308262134224E-2</v>
      </c>
    </row>
    <row r="40" spans="1:5" x14ac:dyDescent="0.2">
      <c r="A40" s="20" t="s">
        <v>19</v>
      </c>
      <c r="B40" s="2">
        <v>0.50000005960464478</v>
      </c>
      <c r="C40" s="2">
        <v>-3.5443037974683622E-2</v>
      </c>
      <c r="D40" s="2">
        <v>0.46455702162996115</v>
      </c>
      <c r="E40" s="2">
        <f t="shared" si="0"/>
        <v>-0.5354430975793284</v>
      </c>
    </row>
    <row r="41" spans="1:5" x14ac:dyDescent="0.2">
      <c r="A41" s="20" t="s">
        <v>527</v>
      </c>
      <c r="B41" s="2">
        <v>8.0786227211356163</v>
      </c>
      <c r="C41" s="2">
        <v>-1.0213900908650331</v>
      </c>
      <c r="D41" s="2">
        <v>7.0572326302705832</v>
      </c>
    </row>
  </sheetData>
  <conditionalFormatting sqref="E29:E4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70DCF-7052-0A4F-AA97-4A5DBC40424C}">
  <sheetPr codeName="Sheet5"/>
  <dimension ref="A1"/>
  <sheetViews>
    <sheetView zoomScale="150" workbookViewId="0">
      <selection activeCell="M7" sqref="M7"/>
    </sheetView>
  </sheetViews>
  <sheetFormatPr baseColWidth="10" defaultColWidth="5.83203125" defaultRowHeight="30" customHeight="1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heckerBoard">
                <anchor moveWithCells="1" sizeWithCells="1">
                  <from>
                    <xdr:col>9</xdr:col>
                    <xdr:colOff>431800</xdr:colOff>
                    <xdr:row>1</xdr:row>
                    <xdr:rowOff>0</xdr:rowOff>
                  </from>
                  <to>
                    <xdr:col>13</xdr:col>
                    <xdr:colOff>177800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Sheet">
                <anchor moveWithCells="1" sizeWithCells="1">
                  <from>
                    <xdr:col>9</xdr:col>
                    <xdr:colOff>431800</xdr:colOff>
                    <xdr:row>3</xdr:row>
                    <xdr:rowOff>0</xdr:rowOff>
                  </from>
                  <to>
                    <xdr:col>13</xdr:col>
                    <xdr:colOff>177800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AllStocksAnalysis</vt:lpstr>
      <vt:lpstr>Execution Time</vt:lpstr>
      <vt:lpstr>Return_2017vs2018</vt:lpstr>
      <vt:lpstr>Skill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2021-03-06T03:22:45Z</dcterms:modified>
</cp:coreProperties>
</file>